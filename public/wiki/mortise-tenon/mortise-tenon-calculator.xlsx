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Calculator" sheetId="1" state="visible" r:id="rId1"/>
    <sheet xmlns:r="http://schemas.openxmlformats.org/officeDocument/2006/relationships" name="Referenc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&quot;  in&quot;"/>
    <numFmt numFmtId="165" formatCode="0.0&quot;  mm&quot;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5340"/>
      <sz val="10"/>
    </font>
    <font>
      <name val="Calibri"/>
      <b val="1"/>
      <color rgb="002C1A0E"/>
      <sz val="12"/>
    </font>
    <font>
      <b val="1"/>
    </font>
    <font>
      <b val="1"/>
      <color rgb="008A5030"/>
    </font>
    <font>
      <b val="1"/>
      <color rgb="001F5D1F"/>
    </font>
    <font>
      <color rgb="006B5340"/>
      <sz val="10"/>
    </font>
    <font>
      <b val="1"/>
      <color rgb="00FFFFFF"/>
      <sz val="14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C1A0E"/>
      </patternFill>
    </fill>
    <fill>
      <patternFill patternType="solid">
        <fgColor rgb="00C9A47A"/>
      </patternFill>
    </fill>
    <fill>
      <patternFill patternType="solid">
        <fgColor rgb="00FFF7DC"/>
      </patternFill>
    </fill>
    <fill>
      <patternFill patternType="solid">
        <fgColor rgb="00FBF6EC"/>
      </patternFill>
    </fill>
    <fill>
      <patternFill patternType="solid">
        <fgColor rgb="008A5030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2" fillId="0" borderId="0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9C1F1F"/>
      </font>
      <fill>
        <patternFill patternType="solid">
          <fgColor rgb="00F3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38" customWidth="1" min="4" max="4"/>
    <col width="18" customWidth="1" min="5" max="5"/>
  </cols>
  <sheetData>
    <row r="1" ht="32" customHeight="1">
      <c r="A1" s="1" t="inlineStr">
        <is>
          <t>Mortise &amp; Tenon Joint Calculator</t>
        </is>
      </c>
    </row>
    <row r="2">
      <c r="A2" s="2" t="inlineStr">
        <is>
          <t>Enter your stock dimensions in the yellow cells. The calculator does the rest.</t>
        </is>
      </c>
    </row>
    <row r="4">
      <c r="A4" s="3" t="inlineStr">
        <is>
          <t>INPUTS</t>
        </is>
      </c>
    </row>
    <row r="5">
      <c r="A5" s="4" t="inlineStr">
        <is>
          <t>Stock thickness (inches)</t>
        </is>
      </c>
      <c r="B5" s="5" t="n">
        <v>0.75</v>
      </c>
    </row>
    <row r="6">
      <c r="A6" s="4" t="inlineStr">
        <is>
          <t>Stock width / rail width (in)</t>
        </is>
      </c>
      <c r="B6" s="5" t="n">
        <v>2.5</v>
      </c>
    </row>
    <row r="7">
      <c r="A7" s="4" t="inlineStr">
        <is>
          <t>Mortise piece thickness (in)</t>
        </is>
      </c>
      <c r="B7" s="5" t="n">
        <v>0.75</v>
      </c>
    </row>
    <row r="8">
      <c r="A8" s="4" t="inlineStr">
        <is>
          <t>Joint type</t>
        </is>
      </c>
      <c r="B8" s="5" t="inlineStr">
        <is>
          <t>blind</t>
        </is>
      </c>
      <c r="C8" s="6" t="inlineStr">
        <is>
          <t>(blind / through / drawbore)</t>
        </is>
      </c>
    </row>
    <row r="9">
      <c r="A9" s="4" t="inlineStr">
        <is>
          <t>Tenon thickness ratio</t>
        </is>
      </c>
      <c r="B9" s="5" t="n">
        <v>0.333</v>
      </c>
      <c r="C9" s="6" t="inlineStr">
        <is>
          <t>(0.33 European, 0.50 Japanese)</t>
        </is>
      </c>
    </row>
    <row r="11">
      <c r="A11" s="3" t="inlineStr">
        <is>
          <t>CALCULATED DIMENSIONS</t>
        </is>
      </c>
    </row>
    <row r="12">
      <c r="A12" s="4" t="inlineStr">
        <is>
          <t>Tenon thickness</t>
        </is>
      </c>
      <c r="B12" s="7">
        <f>ROUND(B5*B9*32,0)/32</f>
        <v/>
      </c>
      <c r="C12" s="8">
        <f>B12*25.4</f>
        <v/>
      </c>
      <c r="D12" s="6" t="inlineStr">
        <is>
          <t>in / mm</t>
        </is>
      </c>
    </row>
    <row r="13">
      <c r="A13" s="4" t="inlineStr">
        <is>
          <t>Each shoulder reveal</t>
        </is>
      </c>
      <c r="B13" s="7">
        <f>(B5-B12)/2</f>
        <v/>
      </c>
      <c r="C13" s="8">
        <f>B13*25.4</f>
        <v/>
      </c>
      <c r="D13" s="6" t="inlineStr">
        <is>
          <t>in / mm</t>
        </is>
      </c>
    </row>
    <row r="14">
      <c r="A14" s="4" t="inlineStr">
        <is>
          <t>Suggested mortise depth (blind)</t>
        </is>
      </c>
      <c r="B14" s="7">
        <f>ROUND(B7*0.7*32,0)/32</f>
        <v/>
      </c>
      <c r="C14" s="8">
        <f>B14*25.4</f>
        <v/>
      </c>
      <c r="D14" s="6" t="inlineStr">
        <is>
          <t>in / mm</t>
        </is>
      </c>
    </row>
    <row r="15">
      <c r="A15" s="4" t="inlineStr">
        <is>
          <t>Suggested tenon length (through, proud)</t>
        </is>
      </c>
      <c r="B15" s="7">
        <f>B7+1/16</f>
        <v/>
      </c>
      <c r="C15" s="8">
        <f>B15*25.4</f>
        <v/>
      </c>
      <c r="D15" s="6" t="inlineStr">
        <is>
          <t>in / mm</t>
        </is>
      </c>
    </row>
    <row r="16">
      <c r="A16" s="4" t="inlineStr">
        <is>
          <t>Effective tenon length used</t>
        </is>
      </c>
      <c r="B16" s="7">
        <f>IF(B8="through",B7+1/16,B14)</f>
        <v/>
      </c>
      <c r="C16" s="8">
        <f>B16*25.4</f>
        <v/>
      </c>
      <c r="D16" s="6" t="inlineStr">
        <is>
          <t>in / mm</t>
        </is>
      </c>
    </row>
    <row r="17">
      <c r="A17" s="4" t="inlineStr">
        <is>
          <t>Maximum tenon width (single)</t>
        </is>
      </c>
      <c r="B17" s="7">
        <f>B12*5</f>
        <v/>
      </c>
      <c r="C17" s="8">
        <f>B17*25.4</f>
        <v/>
      </c>
      <c r="D17" s="6" t="inlineStr">
        <is>
          <t>in / mm — split into twin tenon if rail is wider</t>
        </is>
      </c>
    </row>
    <row r="18">
      <c r="A18" s="4" t="inlineStr">
        <is>
          <t>Drawbore peg offset</t>
        </is>
      </c>
      <c r="B18" s="7">
        <f>IF(B8="drawbore",1/16,"—")</f>
        <v/>
      </c>
      <c r="C18" s="8">
        <f>IF(B8="drawbore",B18*25.4,"—")</f>
        <v/>
      </c>
      <c r="D18" s="6" t="inlineStr">
        <is>
          <t>in / mm — offset toward shoulder</t>
        </is>
      </c>
    </row>
    <row r="19">
      <c r="A19" s="4" t="inlineStr">
        <is>
          <t>Min mortise distance from stock edge</t>
        </is>
      </c>
      <c r="B19" s="7">
        <f>B12*1.5</f>
        <v/>
      </c>
      <c r="C19" s="8">
        <f>B19*25.4</f>
        <v/>
      </c>
      <c r="D19" s="6" t="inlineStr">
        <is>
          <t>in / mm — keeps mortise wall from blowing out</t>
        </is>
      </c>
    </row>
    <row r="20">
      <c r="A20" s="4" t="inlineStr">
        <is>
          <t>Min mortise distance from end</t>
        </is>
      </c>
      <c r="B20" s="7">
        <f>B12*2</f>
        <v/>
      </c>
      <c r="C20" s="8">
        <f>B20*25.4</f>
        <v/>
      </c>
      <c r="D20" s="6" t="inlineStr">
        <is>
          <t>in / mm — or use a haunched joint</t>
        </is>
      </c>
    </row>
    <row r="22">
      <c r="A22" s="3" t="inlineStr">
        <is>
          <t>VALIDATION</t>
        </is>
      </c>
    </row>
    <row r="23">
      <c r="A23" s="4" t="inlineStr">
        <is>
          <t>Tenon-thickness ratio in safe range?</t>
        </is>
      </c>
      <c r="B23" s="9">
        <f>IF(AND(B9&gt;=0.25,B9&lt;=0.5),"OK","WARN — outside 0.25–0.50")</f>
        <v/>
      </c>
    </row>
    <row r="24">
      <c r="A24" s="4" t="inlineStr">
        <is>
          <t>Tenon width vs cap?</t>
        </is>
      </c>
      <c r="B24" s="9">
        <f>IF(B6&lt;=B17,"OK — single tenon","WARN — split into twin tenon")</f>
        <v/>
      </c>
    </row>
    <row r="25">
      <c r="A25" s="4" t="inlineStr">
        <is>
          <t>Mortise depth ≤ stile thickness?</t>
        </is>
      </c>
      <c r="B25" s="9">
        <f>IF(B16&lt;=B7,"OK","WARN — tenon longer than mortise piece")</f>
        <v/>
      </c>
    </row>
    <row r="27">
      <c r="A27" s="3" t="inlineStr">
        <is>
          <t>NOTES</t>
        </is>
      </c>
    </row>
    <row r="28">
      <c r="A28" s="10" t="inlineStr">
        <is>
          <t>• Round tenon thickness to the nearest chisel size you actually own — there's no virtue in a 17/64" tenon.</t>
        </is>
      </c>
    </row>
    <row r="29">
      <c r="A29" s="10" t="inlineStr">
        <is>
          <t>• For loose / floating tenons (Domino), the same proportions apply to the floating piece itself.</t>
        </is>
      </c>
    </row>
    <row r="30">
      <c r="A30" s="10" t="inlineStr">
        <is>
          <t>• Test-fit dry. The cheek should slip in with hand pressure; you should be able to pull it out without a mallet.</t>
        </is>
      </c>
    </row>
    <row r="31">
      <c r="A31" s="10" t="inlineStr">
        <is>
          <t>• Drawbore offset of 1/16" is conservative and works in oak / maple / ash. Reduce to 1/32" in walnut or cherry.</t>
        </is>
      </c>
    </row>
    <row r="32">
      <c r="A32" s="10" t="inlineStr">
        <is>
          <t>• Source: GrainHub Wiki — Mortise &amp; Tenon Joinery. grainhub.io/wiki/article/mortise-and-tenon-joinery</t>
        </is>
      </c>
    </row>
  </sheetData>
  <mergeCells count="14">
    <mergeCell ref="A30:E30"/>
    <mergeCell ref="B23:E23"/>
    <mergeCell ref="A29:E29"/>
    <mergeCell ref="A4:E4"/>
    <mergeCell ref="A2:E2"/>
    <mergeCell ref="A28:E28"/>
    <mergeCell ref="A11:E11"/>
    <mergeCell ref="A1:E1"/>
    <mergeCell ref="B25:E25"/>
    <mergeCell ref="B24:E24"/>
    <mergeCell ref="A32:E32"/>
    <mergeCell ref="A31:E31"/>
    <mergeCell ref="A22:E22"/>
    <mergeCell ref="A27:E27"/>
  </mergeCells>
  <conditionalFormatting sqref="B23:B25">
    <cfRule type="cellIs" priority="1" operator="containsText" dxfId="0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1" t="inlineStr">
        <is>
          <t>Pre-computed reference dimensions</t>
        </is>
      </c>
    </row>
    <row r="3">
      <c r="A3" s="12" t="inlineStr">
        <is>
          <t>Stock thickness</t>
        </is>
      </c>
      <c r="B3" s="12" t="inlineStr">
        <is>
          <t>Tenon thickness (1/3)</t>
        </is>
      </c>
      <c r="C3" s="12" t="inlineStr">
        <is>
          <t>Each shoulder</t>
        </is>
      </c>
      <c r="D3" s="12" t="inlineStr">
        <is>
          <t>Mortise depth (blind)</t>
        </is>
      </c>
      <c r="E3" s="12" t="inlineStr">
        <is>
          <t>Tenon length (through)</t>
        </is>
      </c>
    </row>
    <row r="4">
      <c r="A4" s="13" t="inlineStr">
        <is>
          <t>0.5"</t>
        </is>
      </c>
      <c r="B4" s="13" t="inlineStr">
        <is>
          <t>0.15625"</t>
        </is>
      </c>
      <c r="C4" s="13" t="inlineStr">
        <is>
          <t>0.172"</t>
        </is>
      </c>
      <c r="D4" s="13" t="inlineStr">
        <is>
          <t>0.34375"</t>
        </is>
      </c>
      <c r="E4" s="13" t="inlineStr">
        <is>
          <t>0.5625"</t>
        </is>
      </c>
    </row>
    <row r="5">
      <c r="A5" s="14" t="inlineStr">
        <is>
          <t>0.625"</t>
        </is>
      </c>
      <c r="B5" s="14" t="inlineStr">
        <is>
          <t>0.21875"</t>
        </is>
      </c>
      <c r="C5" s="14" t="inlineStr">
        <is>
          <t>0.203"</t>
        </is>
      </c>
      <c r="D5" s="14" t="inlineStr">
        <is>
          <t>0.4375"</t>
        </is>
      </c>
      <c r="E5" s="14" t="inlineStr">
        <is>
          <t>0.6875"</t>
        </is>
      </c>
    </row>
    <row r="6">
      <c r="A6" s="13" t="inlineStr">
        <is>
          <t>0.75"</t>
        </is>
      </c>
      <c r="B6" s="13" t="inlineStr">
        <is>
          <t>0.25"</t>
        </is>
      </c>
      <c r="C6" s="13" t="inlineStr">
        <is>
          <t>0.250"</t>
        </is>
      </c>
      <c r="D6" s="13" t="inlineStr">
        <is>
          <t>0.53125"</t>
        </is>
      </c>
      <c r="E6" s="13" t="inlineStr">
        <is>
          <t>0.8125"</t>
        </is>
      </c>
    </row>
    <row r="7">
      <c r="A7" s="14" t="inlineStr">
        <is>
          <t>0.875"</t>
        </is>
      </c>
      <c r="B7" s="14" t="inlineStr">
        <is>
          <t>0.28125"</t>
        </is>
      </c>
      <c r="C7" s="14" t="inlineStr">
        <is>
          <t>0.297"</t>
        </is>
      </c>
      <c r="D7" s="14" t="inlineStr">
        <is>
          <t>0.625"</t>
        </is>
      </c>
      <c r="E7" s="14" t="inlineStr">
        <is>
          <t>0.9375"</t>
        </is>
      </c>
    </row>
    <row r="8">
      <c r="A8" s="13" t="inlineStr">
        <is>
          <t>1.0"</t>
        </is>
      </c>
      <c r="B8" s="13" t="inlineStr">
        <is>
          <t>0.34375"</t>
        </is>
      </c>
      <c r="C8" s="13" t="inlineStr">
        <is>
          <t>0.328"</t>
        </is>
      </c>
      <c r="D8" s="13" t="inlineStr">
        <is>
          <t>0.6875"</t>
        </is>
      </c>
      <c r="E8" s="13" t="inlineStr">
        <is>
          <t>1.0625"</t>
        </is>
      </c>
    </row>
    <row r="9">
      <c r="A9" s="14" t="inlineStr">
        <is>
          <t>1.25"</t>
        </is>
      </c>
      <c r="B9" s="14" t="inlineStr">
        <is>
          <t>0.40625"</t>
        </is>
      </c>
      <c r="C9" s="14" t="inlineStr">
        <is>
          <t>0.422"</t>
        </is>
      </c>
      <c r="D9" s="14" t="inlineStr">
        <is>
          <t>0.875"</t>
        </is>
      </c>
      <c r="E9" s="14" t="inlineStr">
        <is>
          <t>1.3125"</t>
        </is>
      </c>
    </row>
    <row r="10">
      <c r="A10" s="13" t="inlineStr">
        <is>
          <t>1.5"</t>
        </is>
      </c>
      <c r="B10" s="13" t="inlineStr">
        <is>
          <t>0.5"</t>
        </is>
      </c>
      <c r="C10" s="13" t="inlineStr">
        <is>
          <t>0.500"</t>
        </is>
      </c>
      <c r="D10" s="13" t="inlineStr">
        <is>
          <t>1.0625"</t>
        </is>
      </c>
      <c r="E10" s="13" t="inlineStr">
        <is>
          <t>1.5625"</t>
        </is>
      </c>
    </row>
    <row r="11">
      <c r="A11" s="14" t="inlineStr">
        <is>
          <t>1.75"</t>
        </is>
      </c>
      <c r="B11" s="14" t="inlineStr">
        <is>
          <t>0.59375"</t>
        </is>
      </c>
      <c r="C11" s="14" t="inlineStr">
        <is>
          <t>0.578"</t>
        </is>
      </c>
      <c r="D11" s="14" t="inlineStr">
        <is>
          <t>1.21875"</t>
        </is>
      </c>
      <c r="E11" s="14" t="inlineStr">
        <is>
          <t>1.8125"</t>
        </is>
      </c>
    </row>
    <row r="12">
      <c r="A12" s="13" t="inlineStr">
        <is>
          <t>2.0"</t>
        </is>
      </c>
      <c r="B12" s="13" t="inlineStr">
        <is>
          <t>0.65625"</t>
        </is>
      </c>
      <c r="C12" s="13" t="inlineStr">
        <is>
          <t>0.672"</t>
        </is>
      </c>
      <c r="D12" s="13" t="inlineStr">
        <is>
          <t>1.40625"</t>
        </is>
      </c>
      <c r="E12" s="13" t="inlineStr">
        <is>
          <t>2.0625"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2026-04-26T01:48:17Z</dcterms:created>
  <dcterms:modified xmlns:dcterms="http://purl.org/dc/terms/" xmlns:xsi="http://www.w3.org/2001/XMLSchema-instance" xsi:type="dcterms:W3CDTF">2026-04-26T01:48:17Z</dcterms:modified>
</cp:coreProperties>
</file>